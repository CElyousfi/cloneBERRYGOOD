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maaouni/Desktop/berrygood-dashboard/"/>
    </mc:Choice>
  </mc:AlternateContent>
  <xr:revisionPtr revIDLastSave="0" documentId="13_ncr:1_{16C15391-A842-6948-8315-96D97AD1132D}" xr6:coauthVersionLast="47" xr6:coauthVersionMax="47" xr10:uidLastSave="{00000000-0000-0000-0000-000000000000}"/>
  <bookViews>
    <workbookView xWindow="0" yWindow="760" windowWidth="29400" windowHeight="18360" activeTab="1" xr2:uid="{072EF886-E764-2C4B-B019-85A1DCF692BC}"/>
  </bookViews>
  <sheets>
    <sheet name="F05" sheetId="4" r:id="rId1"/>
    <sheet name="F01" sheetId="5" r:id="rId2"/>
  </sheets>
  <definedNames>
    <definedName name="_xlnm._FilterDatabase">#REF!</definedName>
    <definedName name="_xlcn.LinkedTable_Tableau11" hidden="1">#REF!</definedName>
    <definedName name="_xlcn.LinkedTable_Tableau21" localSheetId="1" hidden="1">Tableau2</definedName>
    <definedName name="_xlcn.LinkedTable_Tableau21" localSheetId="0" hidden="1">Tableau2</definedName>
    <definedName name="_xlcn.LinkedTable_Tableau21" hidden="1">Tableau2</definedName>
    <definedName name="_xlnm.Print_Area" localSheetId="1">'F01'!$B$2:$K$33</definedName>
    <definedName name="_xlnm.Print_Area" localSheetId="0">'F05'!$B$2:$S$33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" l="1"/>
  <c r="H20" i="5"/>
  <c r="F20" i="5"/>
  <c r="E20" i="5"/>
  <c r="I9" i="5"/>
  <c r="H9" i="5"/>
  <c r="F9" i="5"/>
  <c r="E9" i="5"/>
  <c r="A9" i="5"/>
  <c r="U20" i="4"/>
  <c r="T20" i="4"/>
  <c r="U9" i="4"/>
  <c r="T9" i="4"/>
  <c r="R20" i="4"/>
  <c r="Q20" i="4"/>
  <c r="R9" i="4"/>
  <c r="Q9" i="4"/>
  <c r="O20" i="4"/>
  <c r="N20" i="4"/>
  <c r="O9" i="4"/>
  <c r="N9" i="4"/>
  <c r="L20" i="4"/>
  <c r="K20" i="4"/>
  <c r="L9" i="4"/>
  <c r="K9" i="4"/>
  <c r="I20" i="4"/>
  <c r="H20" i="4"/>
  <c r="I9" i="4"/>
  <c r="H9" i="4"/>
  <c r="F20" i="4"/>
  <c r="E20" i="4"/>
  <c r="F9" i="4"/>
  <c r="E9" i="4"/>
  <c r="A9" i="4"/>
</calcChain>
</file>

<file path=xl/sharedStrings.xml><?xml version="1.0" encoding="utf-8"?>
<sst xmlns="http://schemas.openxmlformats.org/spreadsheetml/2006/main" count="128" uniqueCount="47">
  <si>
    <t>Culture</t>
  </si>
  <si>
    <t>P&amp;L</t>
  </si>
  <si>
    <t>Unit</t>
  </si>
  <si>
    <t xml:space="preserve">Actuals YTD </t>
  </si>
  <si>
    <t>Budget YTD</t>
  </si>
  <si>
    <t>Kdh</t>
  </si>
  <si>
    <t>Dh/Kg</t>
  </si>
  <si>
    <t>Engrais</t>
  </si>
  <si>
    <t>Phytosanitaires</t>
  </si>
  <si>
    <t>Autres intrants</t>
  </si>
  <si>
    <t>MOD Générale</t>
  </si>
  <si>
    <t>MOD Récolte</t>
  </si>
  <si>
    <t>MOD Caporaux</t>
  </si>
  <si>
    <t xml:space="preserve">Qualité </t>
  </si>
  <si>
    <t>Pfq</t>
  </si>
  <si>
    <t xml:space="preserve">Corrina </t>
  </si>
  <si>
    <t>Breeze</t>
  </si>
  <si>
    <t>Cascade</t>
  </si>
  <si>
    <t>Kg</t>
  </si>
  <si>
    <t xml:space="preserve">Intrant </t>
  </si>
  <si>
    <t xml:space="preserve"> Dh/Ha </t>
  </si>
  <si>
    <t>Kg/H</t>
  </si>
  <si>
    <t>Dh/H</t>
  </si>
  <si>
    <t>Palissage</t>
  </si>
  <si>
    <t xml:space="preserve">Aération </t>
  </si>
  <si>
    <t>JH</t>
  </si>
  <si>
    <t xml:space="preserve">Plantation </t>
  </si>
  <si>
    <t xml:space="preserve">Hors récolte </t>
  </si>
  <si>
    <t>Jh</t>
  </si>
  <si>
    <t>Score</t>
  </si>
  <si>
    <t xml:space="preserve">Score </t>
  </si>
  <si>
    <t xml:space="preserve">Récolte </t>
  </si>
  <si>
    <t>Vitesse de récolte (Kg/H)</t>
  </si>
  <si>
    <t xml:space="preserve">Prix ouvrier ( inclus transport) </t>
  </si>
  <si>
    <t>Cout de récolte (Dh/Kg)</t>
  </si>
  <si>
    <t xml:space="preserve">Export </t>
  </si>
  <si>
    <t xml:space="preserve">Marché local </t>
  </si>
  <si>
    <t xml:space="preserve">Berry Good </t>
  </si>
  <si>
    <t xml:space="preserve">Irrigation </t>
  </si>
  <si>
    <t xml:space="preserve">Traitement </t>
  </si>
  <si>
    <t>Yazmin cut back</t>
  </si>
  <si>
    <t xml:space="preserve">Reyna </t>
  </si>
  <si>
    <t xml:space="preserve">Myrtille nouvelle plantation </t>
  </si>
  <si>
    <t xml:space="preserve">Entretien serre </t>
  </si>
  <si>
    <t xml:space="preserve">Entretien domaine </t>
  </si>
  <si>
    <t>Maravilla LC</t>
  </si>
  <si>
    <t>Maravilla 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</si>
</sst>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€_-;\-* #,##0.00\ _€_-;_-* &quot;-&quot;??\ _€_-;_-@_-"/>
    <numFmt numFmtId="165" formatCode="_-* #,##0\ _€_-;\-* #,##0\ _€_-;_-* &quot;-&quot;??\ _€_-;_-@_-"/>
  </numFmts>
  <fonts count="12" x14ac:knownFonts="1">
    <font>
      <sz val="10"/>
      <name val="Arial"/>
      <family val="2"/>
    </font>
    <font>
      <sz val="10"/>
      <name val="Arial"/>
      <family val="2"/>
    </font>
    <font>
      <sz val="9"/>
      <color theme="0" tint="-0.249977111117893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0" tint="-0.1499984740745262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b/>
      <sz val="9"/>
      <name val="Aptos Narrow"/>
      <scheme val="minor"/>
    </font>
    <font>
      <sz val="9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9" fontId="9" fillId="0" borderId="3" xfId="2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5" fontId="7" fillId="4" borderId="6" xfId="1" applyNumberFormat="1" applyFont="1" applyFill="1" applyBorder="1" applyAlignment="1">
      <alignment horizontal="center" vertical="center"/>
    </xf>
    <xf numFmtId="165" fontId="7" fillId="4" borderId="17" xfId="1" applyNumberFormat="1" applyFont="1" applyFill="1" applyBorder="1" applyAlignment="1">
      <alignment horizontal="center" vertical="center"/>
    </xf>
    <xf numFmtId="165" fontId="3" fillId="0" borderId="20" xfId="1" applyNumberFormat="1" applyFont="1" applyFill="1" applyBorder="1" applyAlignment="1">
      <alignment horizontal="center" vertical="center"/>
    </xf>
    <xf numFmtId="165" fontId="3" fillId="0" borderId="18" xfId="1" applyNumberFormat="1" applyFont="1" applyFill="1" applyBorder="1" applyAlignment="1">
      <alignment horizontal="center" vertical="center"/>
    </xf>
    <xf numFmtId="165" fontId="3" fillId="0" borderId="21" xfId="1" applyNumberFormat="1" applyFont="1" applyFill="1" applyBorder="1" applyAlignment="1">
      <alignment horizontal="center" vertical="center"/>
    </xf>
    <xf numFmtId="165" fontId="3" fillId="0" borderId="19" xfId="1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0" borderId="22" xfId="1" applyNumberFormat="1" applyFont="1" applyFill="1" applyBorder="1" applyAlignment="1">
      <alignment horizontal="center" vertical="center"/>
    </xf>
    <xf numFmtId="165" fontId="7" fillId="5" borderId="13" xfId="1" applyNumberFormat="1" applyFont="1" applyFill="1" applyBorder="1" applyAlignment="1">
      <alignment horizontal="center" vertical="center"/>
    </xf>
    <xf numFmtId="165" fontId="7" fillId="5" borderId="23" xfId="1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165" fontId="7" fillId="6" borderId="13" xfId="0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5" fontId="7" fillId="6" borderId="12" xfId="0" applyNumberFormat="1" applyFont="1" applyFill="1" applyBorder="1" applyAlignment="1">
      <alignment horizontal="center" vertical="center"/>
    </xf>
    <xf numFmtId="165" fontId="3" fillId="0" borderId="5" xfId="1" applyNumberFormat="1" applyFont="1" applyFill="1" applyBorder="1" applyAlignment="1">
      <alignment horizontal="center" vertical="center"/>
    </xf>
    <xf numFmtId="165" fontId="3" fillId="0" borderId="25" xfId="1" applyNumberFormat="1" applyFont="1" applyFill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3" fillId="0" borderId="11" xfId="1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5" fontId="7" fillId="3" borderId="6" xfId="1" applyNumberFormat="1" applyFont="1" applyFill="1" applyBorder="1" applyAlignment="1">
      <alignment horizontal="center" vertical="center"/>
    </xf>
    <xf numFmtId="165" fontId="7" fillId="3" borderId="17" xfId="1" applyNumberFormat="1" applyFont="1" applyFill="1" applyBorder="1" applyAlignment="1">
      <alignment horizontal="center" vertical="center"/>
    </xf>
    <xf numFmtId="165" fontId="9" fillId="0" borderId="7" xfId="1" applyNumberFormat="1" applyFont="1" applyFill="1" applyBorder="1" applyAlignment="1">
      <alignment horizontal="center" vertical="center"/>
    </xf>
    <xf numFmtId="165" fontId="3" fillId="0" borderId="14" xfId="1" applyNumberFormat="1" applyFont="1" applyBorder="1" applyAlignment="1">
      <alignment horizontal="center" vertical="center"/>
    </xf>
    <xf numFmtId="9" fontId="9" fillId="0" borderId="28" xfId="2" applyFont="1" applyFill="1" applyBorder="1" applyAlignment="1">
      <alignment horizontal="center" vertical="center"/>
    </xf>
    <xf numFmtId="9" fontId="9" fillId="0" borderId="29" xfId="2" applyFont="1" applyFill="1" applyBorder="1" applyAlignment="1">
      <alignment horizontal="center" vertical="center"/>
    </xf>
    <xf numFmtId="9" fontId="9" fillId="0" borderId="7" xfId="2" applyFont="1" applyFill="1" applyBorder="1" applyAlignment="1">
      <alignment horizontal="center" vertical="center"/>
    </xf>
    <xf numFmtId="9" fontId="9" fillId="0" borderId="14" xfId="2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9" fontId="9" fillId="7" borderId="26" xfId="2" applyFont="1" applyFill="1" applyBorder="1" applyAlignment="1">
      <alignment horizontal="center" vertical="center"/>
    </xf>
    <xf numFmtId="9" fontId="9" fillId="7" borderId="27" xfId="2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4">
    <cellStyle name="Comma" xfId="1" builtinId="3"/>
    <cellStyle name="Comma 2" xfId="3" xr:uid="{77D1006F-0C02-5C44-A7B1-B77A791611F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7D50-DA01-F748-889C-8EFBA1FCE2C0}">
  <sheetPr>
    <tabColor rgb="FF00B050"/>
    <pageSetUpPr fitToPage="1"/>
  </sheetPr>
  <dimension ref="A1:U33"/>
  <sheetViews>
    <sheetView showGridLines="0" topLeftCell="B1" zoomScale="200" zoomScaleNormal="100" workbookViewId="0">
      <selection activeCell="C8" sqref="C8"/>
    </sheetView>
  </sheetViews>
  <sheetFormatPr baseColWidth="10" defaultColWidth="11.5" defaultRowHeight="13" x14ac:dyDescent="0.15"/>
  <cols>
    <col min="1" max="1" width="11.83203125" style="4" hidden="1" customWidth="1"/>
    <col min="2" max="2" width="22.5" style="6" bestFit="1" customWidth="1"/>
    <col min="3" max="3" width="25.5" style="6" bestFit="1" customWidth="1"/>
    <col min="4" max="4" width="3.6640625" style="3" customWidth="1"/>
    <col min="5" max="5" width="13.83203125" style="6" bestFit="1" customWidth="1"/>
    <col min="6" max="6" width="10.5" style="6" customWidth="1"/>
    <col min="7" max="7" width="2.6640625" style="3" customWidth="1"/>
    <col min="8" max="9" width="10.5" style="3" customWidth="1"/>
    <col min="10" max="10" width="1.83203125" style="3" customWidth="1"/>
    <col min="11" max="12" width="10.5" style="3" customWidth="1"/>
    <col min="13" max="13" width="1.5" style="3" customWidth="1"/>
    <col min="14" max="14" width="10.5" style="3" customWidth="1"/>
    <col min="15" max="15" width="15.5" style="6" customWidth="1"/>
    <col min="16" max="16" width="2" style="6" customWidth="1"/>
    <col min="17" max="17" width="16.5" style="6" bestFit="1" customWidth="1"/>
    <col min="18" max="18" width="11.6640625" style="6" customWidth="1"/>
    <col min="19" max="19" width="1.6640625" style="6" customWidth="1"/>
    <col min="20" max="23" width="11.5" style="6"/>
    <col min="24" max="24" width="12.5" style="6" bestFit="1" customWidth="1"/>
    <col min="25" max="16384" width="11.5" style="6"/>
  </cols>
  <sheetData>
    <row r="1" spans="1:21" s="3" customFormat="1" ht="14" thickBot="1" x14ac:dyDescent="0.2">
      <c r="B1" s="3" t="s">
        <v>37</v>
      </c>
    </row>
    <row r="2" spans="1:21" ht="14" thickBot="1" x14ac:dyDescent="0.2">
      <c r="B2" s="2"/>
      <c r="C2" s="5"/>
      <c r="E2" s="60">
        <v>46099</v>
      </c>
      <c r="F2" s="61">
        <v>46106</v>
      </c>
      <c r="H2" s="60">
        <v>46099</v>
      </c>
      <c r="I2" s="61">
        <v>46106</v>
      </c>
      <c r="K2" s="60">
        <v>46099</v>
      </c>
      <c r="L2" s="61">
        <v>46106</v>
      </c>
      <c r="N2" s="60">
        <v>46099</v>
      </c>
      <c r="O2" s="61">
        <v>46106</v>
      </c>
      <c r="P2" s="1"/>
      <c r="Q2" s="60">
        <v>46099</v>
      </c>
      <c r="R2" s="61">
        <v>46106</v>
      </c>
      <c r="S2" s="1"/>
      <c r="T2" s="60">
        <v>46099</v>
      </c>
      <c r="U2" s="61">
        <v>46106</v>
      </c>
    </row>
    <row r="3" spans="1:21" x14ac:dyDescent="0.15">
      <c r="B3" s="2" t="s">
        <v>0</v>
      </c>
      <c r="C3" s="5"/>
      <c r="E3" s="63" t="s">
        <v>15</v>
      </c>
      <c r="F3" s="63"/>
      <c r="H3" s="63" t="s">
        <v>17</v>
      </c>
      <c r="I3" s="63"/>
      <c r="K3" s="63" t="s">
        <v>16</v>
      </c>
      <c r="L3" s="63"/>
      <c r="N3" s="63" t="s">
        <v>40</v>
      </c>
      <c r="O3" s="63"/>
      <c r="Q3" s="63" t="s">
        <v>41</v>
      </c>
      <c r="R3" s="63"/>
      <c r="T3" s="63" t="s">
        <v>42</v>
      </c>
      <c r="U3" s="63"/>
    </row>
    <row r="4" spans="1:21" ht="15" thickBot="1" x14ac:dyDescent="0.2">
      <c r="B4" s="56" t="s">
        <v>1</v>
      </c>
      <c r="C4" s="57" t="s">
        <v>2</v>
      </c>
      <c r="E4" s="58" t="s">
        <v>3</v>
      </c>
      <c r="F4" s="59" t="s">
        <v>4</v>
      </c>
      <c r="H4" s="58" t="s">
        <v>3</v>
      </c>
      <c r="I4" s="59" t="s">
        <v>4</v>
      </c>
      <c r="K4" s="58" t="s">
        <v>3</v>
      </c>
      <c r="L4" s="59" t="s">
        <v>4</v>
      </c>
      <c r="N4" s="58" t="s">
        <v>3</v>
      </c>
      <c r="O4" s="59" t="s">
        <v>4</v>
      </c>
      <c r="Q4" s="58" t="s">
        <v>3</v>
      </c>
      <c r="R4" s="59" t="s">
        <v>4</v>
      </c>
      <c r="T4" s="58" t="s">
        <v>3</v>
      </c>
      <c r="U4" s="59" t="s">
        <v>4</v>
      </c>
    </row>
    <row r="5" spans="1:21" x14ac:dyDescent="0.15">
      <c r="B5" s="11" t="s">
        <v>31</v>
      </c>
      <c r="C5" s="12" t="s">
        <v>18</v>
      </c>
      <c r="E5" s="17"/>
      <c r="F5" s="18"/>
      <c r="H5" s="17"/>
      <c r="I5" s="18"/>
      <c r="K5" s="17"/>
      <c r="L5" s="18"/>
      <c r="N5" s="17"/>
      <c r="O5" s="18"/>
      <c r="Q5" s="17"/>
      <c r="R5" s="18"/>
      <c r="T5" s="17"/>
      <c r="U5" s="18"/>
    </row>
    <row r="6" spans="1:21" x14ac:dyDescent="0.15">
      <c r="B6" s="62" t="s">
        <v>35</v>
      </c>
      <c r="C6" s="14" t="s">
        <v>18</v>
      </c>
      <c r="E6" s="19"/>
      <c r="F6" s="20"/>
      <c r="H6" s="19"/>
      <c r="I6" s="20"/>
      <c r="K6" s="19"/>
      <c r="L6" s="20"/>
      <c r="N6" s="19"/>
      <c r="O6" s="20"/>
      <c r="Q6" s="19"/>
      <c r="R6" s="20"/>
      <c r="T6" s="19"/>
      <c r="U6" s="20"/>
    </row>
    <row r="7" spans="1:21" ht="14" thickBot="1" x14ac:dyDescent="0.2">
      <c r="B7" s="15" t="s">
        <v>36</v>
      </c>
      <c r="C7" s="16" t="s">
        <v>18</v>
      </c>
      <c r="E7" s="21"/>
      <c r="F7" s="22"/>
      <c r="H7" s="21"/>
      <c r="I7" s="22"/>
      <c r="K7" s="21"/>
      <c r="L7" s="22"/>
      <c r="N7" s="21"/>
      <c r="O7" s="22"/>
      <c r="Q7" s="21"/>
      <c r="R7" s="22"/>
      <c r="T7" s="21"/>
      <c r="U7" s="22"/>
    </row>
    <row r="8" spans="1:21" customFormat="1" ht="9" customHeight="1" thickBot="1" x14ac:dyDescent="0.2"/>
    <row r="9" spans="1:21" ht="14" thickBot="1" x14ac:dyDescent="0.2">
      <c r="A9" s="4" t="str">
        <f>+B9</f>
        <v xml:space="preserve">Hors récolte </v>
      </c>
      <c r="B9" s="23" t="s">
        <v>27</v>
      </c>
      <c r="C9" s="24" t="s">
        <v>28</v>
      </c>
      <c r="E9" s="27">
        <f>E18+E10</f>
        <v>0</v>
      </c>
      <c r="F9" s="28">
        <f>F18+F10</f>
        <v>0</v>
      </c>
      <c r="H9" s="27">
        <f>H18+H10</f>
        <v>0</v>
      </c>
      <c r="I9" s="28">
        <f>I18+I10</f>
        <v>0</v>
      </c>
      <c r="K9" s="27">
        <f>K18+K10</f>
        <v>0</v>
      </c>
      <c r="L9" s="28">
        <f>L18+L10</f>
        <v>0</v>
      </c>
      <c r="N9" s="27">
        <f>N18+N10</f>
        <v>0</v>
      </c>
      <c r="O9" s="28">
        <f>O18+O10</f>
        <v>0</v>
      </c>
      <c r="Q9" s="27">
        <f>Q18+Q10</f>
        <v>0</v>
      </c>
      <c r="R9" s="28">
        <f>R18+R10</f>
        <v>0</v>
      </c>
      <c r="T9" s="27">
        <f>T18+T10</f>
        <v>0</v>
      </c>
      <c r="U9" s="28">
        <f>U18+U10</f>
        <v>0</v>
      </c>
    </row>
    <row r="10" spans="1:21" x14ac:dyDescent="0.15">
      <c r="B10" s="13" t="s">
        <v>10</v>
      </c>
      <c r="C10" s="14" t="s">
        <v>25</v>
      </c>
      <c r="E10" s="19"/>
      <c r="F10" s="20"/>
      <c r="H10" s="19"/>
      <c r="I10" s="20"/>
      <c r="K10" s="19"/>
      <c r="L10" s="20"/>
      <c r="N10" s="19"/>
      <c r="O10" s="20"/>
      <c r="Q10" s="19"/>
      <c r="R10" s="20"/>
      <c r="T10" s="19"/>
      <c r="U10" s="20"/>
    </row>
    <row r="11" spans="1:21" x14ac:dyDescent="0.15">
      <c r="B11" s="25" t="s">
        <v>23</v>
      </c>
      <c r="C11" s="14" t="s">
        <v>25</v>
      </c>
      <c r="E11" s="19"/>
      <c r="F11" s="26"/>
      <c r="H11" s="19"/>
      <c r="I11" s="26"/>
      <c r="K11" s="19"/>
      <c r="L11" s="26"/>
      <c r="N11" s="19"/>
      <c r="O11" s="26"/>
      <c r="Q11" s="19"/>
      <c r="R11" s="26"/>
      <c r="T11" s="19"/>
      <c r="U11" s="26"/>
    </row>
    <row r="12" spans="1:21" x14ac:dyDescent="0.15">
      <c r="B12" s="25" t="s">
        <v>24</v>
      </c>
      <c r="C12" s="14" t="s">
        <v>25</v>
      </c>
      <c r="E12" s="19"/>
      <c r="F12" s="26"/>
      <c r="H12" s="19"/>
      <c r="I12" s="26"/>
      <c r="K12" s="19"/>
      <c r="L12" s="26"/>
      <c r="N12" s="19"/>
      <c r="O12" s="26"/>
      <c r="Q12" s="19"/>
      <c r="R12" s="26"/>
      <c r="T12" s="19"/>
      <c r="U12" s="26"/>
    </row>
    <row r="13" spans="1:21" x14ac:dyDescent="0.15">
      <c r="B13" s="25" t="s">
        <v>26</v>
      </c>
      <c r="C13" s="14" t="s">
        <v>25</v>
      </c>
      <c r="E13" s="19"/>
      <c r="F13" s="26"/>
      <c r="H13" s="19"/>
      <c r="I13" s="26"/>
      <c r="K13" s="19"/>
      <c r="L13" s="26"/>
      <c r="N13" s="19"/>
      <c r="O13" s="26"/>
      <c r="Q13" s="19"/>
      <c r="R13" s="26"/>
      <c r="T13" s="19"/>
      <c r="U13" s="26"/>
    </row>
    <row r="14" spans="1:21" x14ac:dyDescent="0.15">
      <c r="B14" s="25" t="s">
        <v>38</v>
      </c>
      <c r="C14" s="14" t="s">
        <v>25</v>
      </c>
      <c r="E14" s="19"/>
      <c r="F14" s="26"/>
      <c r="H14" s="19"/>
      <c r="I14" s="26"/>
      <c r="K14" s="19"/>
      <c r="L14" s="26"/>
      <c r="N14" s="19"/>
      <c r="O14" s="26"/>
      <c r="Q14" s="19"/>
      <c r="R14" s="26"/>
      <c r="T14" s="19"/>
      <c r="U14" s="26"/>
    </row>
    <row r="15" spans="1:21" x14ac:dyDescent="0.15">
      <c r="B15" s="25" t="s">
        <v>39</v>
      </c>
      <c r="C15" s="14" t="s">
        <v>25</v>
      </c>
      <c r="E15" s="19"/>
      <c r="F15" s="26"/>
      <c r="H15" s="19"/>
      <c r="I15" s="26"/>
      <c r="K15" s="19"/>
      <c r="L15" s="26"/>
      <c r="N15" s="19"/>
      <c r="O15" s="26"/>
      <c r="Q15" s="19"/>
      <c r="R15" s="26"/>
      <c r="T15" s="19"/>
      <c r="U15" s="26"/>
    </row>
    <row r="16" spans="1:21" x14ac:dyDescent="0.15">
      <c r="B16" s="25" t="s">
        <v>43</v>
      </c>
      <c r="C16" s="14" t="s">
        <v>25</v>
      </c>
      <c r="E16" s="19"/>
      <c r="F16" s="26"/>
      <c r="H16" s="19"/>
      <c r="I16" s="26"/>
      <c r="K16" s="19"/>
      <c r="L16" s="26"/>
      <c r="N16" s="19"/>
      <c r="O16" s="26"/>
      <c r="Q16" s="19"/>
      <c r="R16" s="26"/>
      <c r="T16" s="19"/>
      <c r="U16" s="26"/>
    </row>
    <row r="17" spans="2:21" x14ac:dyDescent="0.15">
      <c r="B17" s="25" t="s">
        <v>44</v>
      </c>
      <c r="C17" s="14" t="s">
        <v>25</v>
      </c>
      <c r="E17" s="19"/>
      <c r="F17" s="26"/>
      <c r="H17" s="19"/>
      <c r="I17" s="26"/>
      <c r="K17" s="19"/>
      <c r="L17" s="26"/>
      <c r="N17" s="19"/>
      <c r="O17" s="26"/>
      <c r="Q17" s="19"/>
      <c r="R17" s="26"/>
      <c r="T17" s="19"/>
      <c r="U17" s="26"/>
    </row>
    <row r="18" spans="2:21" ht="14" thickBot="1" x14ac:dyDescent="0.2">
      <c r="B18" s="29" t="s">
        <v>12</v>
      </c>
      <c r="C18" s="16" t="s">
        <v>25</v>
      </c>
      <c r="E18" s="21"/>
      <c r="F18" s="22"/>
      <c r="H18" s="21"/>
      <c r="I18" s="22"/>
      <c r="K18" s="21"/>
      <c r="L18" s="22"/>
      <c r="N18" s="21"/>
      <c r="O18" s="22"/>
      <c r="Q18" s="21"/>
      <c r="R18" s="22"/>
      <c r="T18" s="21"/>
      <c r="U18" s="22"/>
    </row>
    <row r="19" spans="2:21" ht="12" customHeight="1" thickBot="1" x14ac:dyDescent="0.2">
      <c r="B19" s="7"/>
      <c r="C19" s="7"/>
      <c r="E19" s="10"/>
      <c r="F19" s="10"/>
      <c r="H19" s="10"/>
      <c r="I19" s="10"/>
      <c r="K19" s="10"/>
      <c r="L19" s="10"/>
      <c r="N19" s="10"/>
      <c r="O19" s="10"/>
      <c r="Q19" s="10"/>
      <c r="R19" s="10"/>
      <c r="T19" s="10"/>
      <c r="U19" s="10"/>
    </row>
    <row r="20" spans="2:21" ht="14" thickBot="1" x14ac:dyDescent="0.2">
      <c r="B20" s="30" t="s">
        <v>19</v>
      </c>
      <c r="C20" s="32" t="s">
        <v>6</v>
      </c>
      <c r="E20" s="31">
        <f>E21+E22+E23</f>
        <v>0</v>
      </c>
      <c r="F20" s="35">
        <f>F21+F22+F23</f>
        <v>0</v>
      </c>
      <c r="H20" s="31">
        <f>H21+H22+H23</f>
        <v>0</v>
      </c>
      <c r="I20" s="35">
        <f>I21+I22+I23</f>
        <v>0</v>
      </c>
      <c r="K20" s="31">
        <f>K21+K22+K23</f>
        <v>0</v>
      </c>
      <c r="L20" s="35">
        <f>L21+L22+L23</f>
        <v>0</v>
      </c>
      <c r="N20" s="31">
        <f>N21+N22+N23</f>
        <v>0</v>
      </c>
      <c r="O20" s="35">
        <f>O21+O22+O23</f>
        <v>0</v>
      </c>
      <c r="Q20" s="31">
        <f>Q21+Q22+Q23</f>
        <v>0</v>
      </c>
      <c r="R20" s="35">
        <f>R21+R22+R23</f>
        <v>0</v>
      </c>
      <c r="T20" s="31">
        <f>T21+T22+T23</f>
        <v>0</v>
      </c>
      <c r="U20" s="35">
        <f>U21+U22+U23</f>
        <v>0</v>
      </c>
    </row>
    <row r="21" spans="2:21" x14ac:dyDescent="0.15">
      <c r="B21" s="33" t="s">
        <v>7</v>
      </c>
      <c r="C21" s="34" t="s">
        <v>5</v>
      </c>
      <c r="E21" s="36"/>
      <c r="F21" s="37"/>
      <c r="H21" s="36"/>
      <c r="I21" s="37"/>
      <c r="K21" s="36"/>
      <c r="L21" s="37"/>
      <c r="N21" s="36"/>
      <c r="O21" s="37"/>
      <c r="Q21" s="36"/>
      <c r="R21" s="37"/>
      <c r="T21" s="36"/>
      <c r="U21" s="37"/>
    </row>
    <row r="22" spans="2:21" x14ac:dyDescent="0.15">
      <c r="B22" s="25" t="s">
        <v>8</v>
      </c>
      <c r="C22" s="14" t="s">
        <v>5</v>
      </c>
      <c r="E22" s="38"/>
      <c r="F22" s="20"/>
      <c r="H22" s="38"/>
      <c r="I22" s="20"/>
      <c r="K22" s="38"/>
      <c r="L22" s="20"/>
      <c r="N22" s="38"/>
      <c r="O22" s="20"/>
      <c r="Q22" s="38"/>
      <c r="R22" s="20"/>
      <c r="T22" s="38"/>
      <c r="U22" s="20"/>
    </row>
    <row r="23" spans="2:21" ht="14" thickBot="1" x14ac:dyDescent="0.2">
      <c r="B23" s="15" t="s">
        <v>9</v>
      </c>
      <c r="C23" s="16" t="s">
        <v>5</v>
      </c>
      <c r="E23" s="39"/>
      <c r="F23" s="22"/>
      <c r="H23" s="39"/>
      <c r="I23" s="22"/>
      <c r="K23" s="39"/>
      <c r="L23" s="22"/>
      <c r="N23" s="39"/>
      <c r="O23" s="22"/>
      <c r="Q23" s="39"/>
      <c r="R23" s="22"/>
      <c r="T23" s="39"/>
      <c r="U23" s="22"/>
    </row>
    <row r="24" spans="2:21" customFormat="1" ht="14" thickBot="1" x14ac:dyDescent="0.2"/>
    <row r="25" spans="2:21" x14ac:dyDescent="0.15">
      <c r="B25" s="8" t="s">
        <v>13</v>
      </c>
      <c r="C25" s="40" t="s">
        <v>29</v>
      </c>
      <c r="E25" s="42"/>
      <c r="F25" s="43"/>
      <c r="H25" s="42"/>
      <c r="I25" s="43"/>
      <c r="K25" s="42"/>
      <c r="L25" s="43"/>
      <c r="N25" s="42"/>
      <c r="O25" s="43"/>
      <c r="Q25" s="42"/>
      <c r="R25" s="43"/>
      <c r="T25" s="42"/>
      <c r="U25" s="43"/>
    </row>
    <row r="26" spans="2:21" ht="14" thickBot="1" x14ac:dyDescent="0.2">
      <c r="B26" s="9" t="s">
        <v>14</v>
      </c>
      <c r="C26" s="41" t="s">
        <v>30</v>
      </c>
      <c r="E26" s="44">
        <v>0</v>
      </c>
      <c r="F26" s="45">
        <v>90</v>
      </c>
      <c r="H26" s="44">
        <v>0</v>
      </c>
      <c r="I26" s="45">
        <v>90</v>
      </c>
      <c r="K26" s="44">
        <v>0</v>
      </c>
      <c r="L26" s="45">
        <v>90</v>
      </c>
      <c r="N26" s="44">
        <v>0</v>
      </c>
      <c r="O26" s="45">
        <v>90</v>
      </c>
      <c r="Q26" s="44">
        <v>0</v>
      </c>
      <c r="R26" s="45">
        <v>90</v>
      </c>
      <c r="T26" s="44">
        <v>0</v>
      </c>
      <c r="U26" s="45">
        <v>90</v>
      </c>
    </row>
    <row r="27" spans="2:21" customFormat="1" ht="14" thickBot="1" x14ac:dyDescent="0.2"/>
    <row r="28" spans="2:21" ht="14" thickBot="1" x14ac:dyDescent="0.2">
      <c r="B28" s="50" t="s">
        <v>31</v>
      </c>
      <c r="C28" s="51" t="s">
        <v>20</v>
      </c>
      <c r="E28" s="52"/>
      <c r="F28" s="53"/>
      <c r="H28" s="52"/>
      <c r="I28" s="53"/>
      <c r="K28" s="52"/>
      <c r="L28" s="53"/>
      <c r="N28" s="52"/>
      <c r="O28" s="53"/>
      <c r="Q28" s="52"/>
      <c r="R28" s="53"/>
      <c r="T28" s="52"/>
      <c r="U28" s="53"/>
    </row>
    <row r="29" spans="2:21" x14ac:dyDescent="0.15">
      <c r="B29" s="54" t="s">
        <v>11</v>
      </c>
      <c r="C29" s="55" t="s">
        <v>28</v>
      </c>
      <c r="E29" s="46"/>
      <c r="F29" s="47"/>
      <c r="H29" s="46"/>
      <c r="I29" s="47"/>
      <c r="K29" s="46"/>
      <c r="L29" s="47"/>
      <c r="N29" s="46"/>
      <c r="O29" s="47"/>
      <c r="Q29" s="46"/>
      <c r="R29" s="47"/>
      <c r="T29" s="46"/>
      <c r="U29" s="47"/>
    </row>
    <row r="30" spans="2:21" x14ac:dyDescent="0.15">
      <c r="B30" s="25" t="s">
        <v>32</v>
      </c>
      <c r="C30" s="14" t="s">
        <v>21</v>
      </c>
      <c r="E30" s="46"/>
      <c r="F30" s="47"/>
      <c r="H30" s="46"/>
      <c r="I30" s="47"/>
      <c r="K30" s="46"/>
      <c r="L30" s="47"/>
      <c r="N30" s="46"/>
      <c r="O30" s="47"/>
      <c r="Q30" s="46"/>
      <c r="R30" s="47"/>
      <c r="T30" s="46"/>
      <c r="U30" s="47"/>
    </row>
    <row r="31" spans="2:21" x14ac:dyDescent="0.15">
      <c r="B31" s="25" t="s">
        <v>33</v>
      </c>
      <c r="C31" s="14" t="s">
        <v>22</v>
      </c>
      <c r="E31" s="46"/>
      <c r="F31" s="47"/>
      <c r="H31" s="46"/>
      <c r="I31" s="47"/>
      <c r="K31" s="46"/>
      <c r="L31" s="47"/>
      <c r="N31" s="46"/>
      <c r="O31" s="47"/>
      <c r="Q31" s="46"/>
      <c r="R31" s="47"/>
      <c r="T31" s="46"/>
      <c r="U31" s="47"/>
    </row>
    <row r="32" spans="2:21" ht="14" thickBot="1" x14ac:dyDescent="0.2">
      <c r="B32" s="15" t="s">
        <v>34</v>
      </c>
      <c r="C32" s="16" t="s">
        <v>6</v>
      </c>
      <c r="E32" s="48"/>
      <c r="F32" s="49"/>
      <c r="H32" s="48"/>
      <c r="I32" s="49"/>
      <c r="K32" s="48"/>
      <c r="L32" s="49"/>
      <c r="N32" s="48"/>
      <c r="O32" s="49"/>
      <c r="Q32" s="48"/>
      <c r="R32" s="49"/>
      <c r="T32" s="48"/>
      <c r="U32" s="49"/>
    </row>
    <row r="33" customFormat="1" x14ac:dyDescent="0.15"/>
  </sheetData>
  <mergeCells count="6">
    <mergeCell ref="T3:U3"/>
    <mergeCell ref="E3:F3"/>
    <mergeCell ref="H3:I3"/>
    <mergeCell ref="K3:L3"/>
    <mergeCell ref="N3:O3"/>
    <mergeCell ref="Q3:R3"/>
  </mergeCells>
  <printOptions horizontalCentered="1" verticalCentered="1"/>
  <pageMargins left="0" right="0" top="0" bottom="0" header="0" footer="0"/>
  <pageSetup paperSize="9" scale="81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727F-676F-494E-AFF7-DE25B19D6691}">
  <sheetPr>
    <tabColor rgb="FF00B050"/>
    <pageSetUpPr fitToPage="1"/>
  </sheetPr>
  <dimension ref="A1:K33"/>
  <sheetViews>
    <sheetView showGridLines="0" tabSelected="1" topLeftCell="B1" zoomScale="200" zoomScaleNormal="100" workbookViewId="0">
      <selection activeCell="E12" sqref="E12"/>
    </sheetView>
  </sheetViews>
  <sheetFormatPr baseColWidth="10" defaultColWidth="11.5" defaultRowHeight="13" x14ac:dyDescent="0.15"/>
  <cols>
    <col min="1" max="1" width="11.83203125" style="4" hidden="1" customWidth="1"/>
    <col min="2" max="2" width="22.5" style="6" bestFit="1" customWidth="1"/>
    <col min="3" max="3" width="25.5" style="6" bestFit="1" customWidth="1"/>
    <col min="4" max="4" width="3.6640625" style="3" customWidth="1"/>
    <col min="5" max="5" width="13.83203125" style="6" bestFit="1" customWidth="1"/>
    <col min="6" max="6" width="10.5" style="6" customWidth="1"/>
    <col min="7" max="7" width="2.6640625" style="3" customWidth="1"/>
    <col min="8" max="9" width="10.5" style="3" customWidth="1"/>
    <col min="10" max="10" width="1.83203125" style="3" customWidth="1"/>
    <col min="11" max="11" width="1.5" style="3" customWidth="1"/>
    <col min="12" max="13" width="11.5" style="6"/>
    <col min="14" max="14" width="12.5" style="6" bestFit="1" customWidth="1"/>
    <col min="15" max="16384" width="11.5" style="6"/>
  </cols>
  <sheetData>
    <row r="1" spans="1:9" s="3" customFormat="1" ht="14" thickBot="1" x14ac:dyDescent="0.2">
      <c r="B1" s="3" t="s">
        <v>37</v>
      </c>
    </row>
    <row r="2" spans="1:9" ht="14" thickBot="1" x14ac:dyDescent="0.2">
      <c r="B2" s="2"/>
      <c r="C2" s="5"/>
      <c r="E2" s="60">
        <v>46099</v>
      </c>
      <c r="F2" s="61">
        <v>46106</v>
      </c>
      <c r="H2" s="60">
        <v>46099</v>
      </c>
      <c r="I2" s="61">
        <v>46106</v>
      </c>
    </row>
    <row r="3" spans="1:9" x14ac:dyDescent="0.15">
      <c r="B3" s="2" t="s">
        <v>0</v>
      </c>
      <c r="C3" s="5"/>
      <c r="E3" s="63" t="s">
        <v>45</v>
      </c>
      <c r="F3" s="63"/>
      <c r="H3" s="63" t="s">
        <v>46</v>
      </c>
      <c r="I3" s="63"/>
    </row>
    <row r="4" spans="1:9" ht="15" thickBot="1" x14ac:dyDescent="0.2">
      <c r="B4" s="56" t="s">
        <v>1</v>
      </c>
      <c r="C4" s="57" t="s">
        <v>2</v>
      </c>
      <c r="E4" s="58" t="s">
        <v>3</v>
      </c>
      <c r="F4" s="59" t="s">
        <v>4</v>
      </c>
      <c r="H4" s="58" t="s">
        <v>3</v>
      </c>
      <c r="I4" s="59" t="s">
        <v>4</v>
      </c>
    </row>
    <row r="5" spans="1:9" x14ac:dyDescent="0.15">
      <c r="B5" s="11" t="s">
        <v>31</v>
      </c>
      <c r="C5" s="12" t="s">
        <v>18</v>
      </c>
      <c r="E5" s="17"/>
      <c r="F5" s="18"/>
      <c r="H5" s="17"/>
      <c r="I5" s="18"/>
    </row>
    <row r="6" spans="1:9" x14ac:dyDescent="0.15">
      <c r="B6" s="62" t="s">
        <v>35</v>
      </c>
      <c r="C6" s="14" t="s">
        <v>18</v>
      </c>
      <c r="E6" s="19"/>
      <c r="F6" s="20"/>
      <c r="H6" s="19"/>
      <c r="I6" s="20"/>
    </row>
    <row r="7" spans="1:9" ht="14" thickBot="1" x14ac:dyDescent="0.2">
      <c r="B7" s="15" t="s">
        <v>36</v>
      </c>
      <c r="C7" s="16" t="s">
        <v>18</v>
      </c>
      <c r="E7" s="21"/>
      <c r="F7" s="22"/>
      <c r="H7" s="21"/>
      <c r="I7" s="22"/>
    </row>
    <row r="8" spans="1:9" customFormat="1" ht="9" customHeight="1" thickBot="1" x14ac:dyDescent="0.2"/>
    <row r="9" spans="1:9" ht="14" thickBot="1" x14ac:dyDescent="0.2">
      <c r="A9" s="4" t="str">
        <f>+B9</f>
        <v xml:space="preserve">Hors récolte </v>
      </c>
      <c r="B9" s="23" t="s">
        <v>27</v>
      </c>
      <c r="C9" s="24" t="s">
        <v>28</v>
      </c>
      <c r="E9" s="27">
        <f>E18+E10</f>
        <v>0</v>
      </c>
      <c r="F9" s="28">
        <f>F18+F10</f>
        <v>0</v>
      </c>
      <c r="H9" s="27">
        <f>H18+H10</f>
        <v>0</v>
      </c>
      <c r="I9" s="28">
        <f>I18+I10</f>
        <v>0</v>
      </c>
    </row>
    <row r="10" spans="1:9" x14ac:dyDescent="0.15">
      <c r="B10" s="13" t="s">
        <v>10</v>
      </c>
      <c r="C10" s="14" t="s">
        <v>25</v>
      </c>
      <c r="E10" s="19"/>
      <c r="F10" s="20"/>
      <c r="H10" s="19"/>
      <c r="I10" s="20"/>
    </row>
    <row r="11" spans="1:9" x14ac:dyDescent="0.15">
      <c r="B11" s="25" t="s">
        <v>23</v>
      </c>
      <c r="C11" s="14" t="s">
        <v>25</v>
      </c>
      <c r="E11" s="19"/>
      <c r="F11" s="26"/>
      <c r="H11" s="19"/>
      <c r="I11" s="26"/>
    </row>
    <row r="12" spans="1:9" x14ac:dyDescent="0.15">
      <c r="B12" s="25" t="s">
        <v>24</v>
      </c>
      <c r="C12" s="14" t="s">
        <v>25</v>
      </c>
      <c r="E12" s="19"/>
      <c r="F12" s="26"/>
      <c r="H12" s="19"/>
      <c r="I12" s="26"/>
    </row>
    <row r="13" spans="1:9" x14ac:dyDescent="0.15">
      <c r="B13" s="25" t="s">
        <v>26</v>
      </c>
      <c r="C13" s="14" t="s">
        <v>25</v>
      </c>
      <c r="E13" s="19"/>
      <c r="F13" s="26"/>
      <c r="H13" s="19"/>
      <c r="I13" s="26"/>
    </row>
    <row r="14" spans="1:9" x14ac:dyDescent="0.15">
      <c r="B14" s="25" t="s">
        <v>38</v>
      </c>
      <c r="C14" s="14" t="s">
        <v>25</v>
      </c>
      <c r="E14" s="19"/>
      <c r="F14" s="26"/>
      <c r="H14" s="19"/>
      <c r="I14" s="26"/>
    </row>
    <row r="15" spans="1:9" x14ac:dyDescent="0.15">
      <c r="B15" s="25" t="s">
        <v>39</v>
      </c>
      <c r="C15" s="14" t="s">
        <v>25</v>
      </c>
      <c r="E15" s="19"/>
      <c r="F15" s="26"/>
      <c r="H15" s="19"/>
      <c r="I15" s="26"/>
    </row>
    <row r="16" spans="1:9" x14ac:dyDescent="0.15">
      <c r="B16" s="25" t="s">
        <v>43</v>
      </c>
      <c r="C16" s="14" t="s">
        <v>25</v>
      </c>
      <c r="E16" s="19"/>
      <c r="F16" s="26"/>
      <c r="H16" s="19"/>
      <c r="I16" s="26"/>
    </row>
    <row r="17" spans="2:9" x14ac:dyDescent="0.15">
      <c r="B17" s="25" t="s">
        <v>44</v>
      </c>
      <c r="C17" s="14" t="s">
        <v>25</v>
      </c>
      <c r="E17" s="19"/>
      <c r="F17" s="26"/>
      <c r="H17" s="19"/>
      <c r="I17" s="26"/>
    </row>
    <row r="18" spans="2:9" ht="14" thickBot="1" x14ac:dyDescent="0.2">
      <c r="B18" s="29" t="s">
        <v>12</v>
      </c>
      <c r="C18" s="16" t="s">
        <v>25</v>
      </c>
      <c r="E18" s="21"/>
      <c r="F18" s="22"/>
      <c r="H18" s="21"/>
      <c r="I18" s="22"/>
    </row>
    <row r="19" spans="2:9" ht="12" customHeight="1" thickBot="1" x14ac:dyDescent="0.2">
      <c r="B19" s="7"/>
      <c r="C19" s="7"/>
      <c r="E19" s="10"/>
      <c r="F19" s="10"/>
      <c r="H19" s="10"/>
      <c r="I19" s="10"/>
    </row>
    <row r="20" spans="2:9" ht="14" thickBot="1" x14ac:dyDescent="0.2">
      <c r="B20" s="30" t="s">
        <v>19</v>
      </c>
      <c r="C20" s="32" t="s">
        <v>6</v>
      </c>
      <c r="E20" s="31">
        <f>E21+E22+E23</f>
        <v>0</v>
      </c>
      <c r="F20" s="35">
        <f>F21+F22+F23</f>
        <v>0</v>
      </c>
      <c r="H20" s="31">
        <f>H21+H22+H23</f>
        <v>0</v>
      </c>
      <c r="I20" s="35">
        <f>I21+I22+I23</f>
        <v>0</v>
      </c>
    </row>
    <row r="21" spans="2:9" x14ac:dyDescent="0.15">
      <c r="B21" s="33" t="s">
        <v>7</v>
      </c>
      <c r="C21" s="34" t="s">
        <v>5</v>
      </c>
      <c r="E21" s="36"/>
      <c r="F21" s="37"/>
      <c r="H21" s="36"/>
      <c r="I21" s="37"/>
    </row>
    <row r="22" spans="2:9" x14ac:dyDescent="0.15">
      <c r="B22" s="25" t="s">
        <v>8</v>
      </c>
      <c r="C22" s="14" t="s">
        <v>5</v>
      </c>
      <c r="E22" s="38"/>
      <c r="F22" s="20"/>
      <c r="H22" s="38"/>
      <c r="I22" s="20"/>
    </row>
    <row r="23" spans="2:9" ht="14" thickBot="1" x14ac:dyDescent="0.2">
      <c r="B23" s="15" t="s">
        <v>9</v>
      </c>
      <c r="C23" s="16" t="s">
        <v>5</v>
      </c>
      <c r="E23" s="39"/>
      <c r="F23" s="22"/>
      <c r="H23" s="39"/>
      <c r="I23" s="22"/>
    </row>
    <row r="24" spans="2:9" customFormat="1" ht="14" thickBot="1" x14ac:dyDescent="0.2"/>
    <row r="25" spans="2:9" x14ac:dyDescent="0.15">
      <c r="B25" s="8" t="s">
        <v>13</v>
      </c>
      <c r="C25" s="40" t="s">
        <v>29</v>
      </c>
      <c r="E25" s="42"/>
      <c r="F25" s="43"/>
      <c r="H25" s="42"/>
      <c r="I25" s="43"/>
    </row>
    <row r="26" spans="2:9" ht="14" thickBot="1" x14ac:dyDescent="0.2">
      <c r="B26" s="9" t="s">
        <v>14</v>
      </c>
      <c r="C26" s="41" t="s">
        <v>30</v>
      </c>
      <c r="E26" s="44">
        <v>0</v>
      </c>
      <c r="F26" s="45">
        <v>90</v>
      </c>
      <c r="H26" s="44">
        <v>0</v>
      </c>
      <c r="I26" s="45">
        <v>90</v>
      </c>
    </row>
    <row r="27" spans="2:9" customFormat="1" ht="14" thickBot="1" x14ac:dyDescent="0.2"/>
    <row r="28" spans="2:9" ht="14" thickBot="1" x14ac:dyDescent="0.2">
      <c r="B28" s="50" t="s">
        <v>31</v>
      </c>
      <c r="C28" s="51" t="s">
        <v>20</v>
      </c>
      <c r="E28" s="52"/>
      <c r="F28" s="53"/>
      <c r="H28" s="52"/>
      <c r="I28" s="53"/>
    </row>
    <row r="29" spans="2:9" x14ac:dyDescent="0.15">
      <c r="B29" s="54" t="s">
        <v>11</v>
      </c>
      <c r="C29" s="55" t="s">
        <v>28</v>
      </c>
      <c r="E29" s="46"/>
      <c r="F29" s="47"/>
      <c r="H29" s="46"/>
      <c r="I29" s="47"/>
    </row>
    <row r="30" spans="2:9" x14ac:dyDescent="0.15">
      <c r="B30" s="25" t="s">
        <v>32</v>
      </c>
      <c r="C30" s="14" t="s">
        <v>21</v>
      </c>
      <c r="E30" s="46"/>
      <c r="F30" s="47"/>
      <c r="H30" s="46"/>
      <c r="I30" s="47"/>
    </row>
    <row r="31" spans="2:9" x14ac:dyDescent="0.15">
      <c r="B31" s="25" t="s">
        <v>33</v>
      </c>
      <c r="C31" s="14" t="s">
        <v>22</v>
      </c>
      <c r="E31" s="46"/>
      <c r="F31" s="47"/>
      <c r="H31" s="46"/>
      <c r="I31" s="47"/>
    </row>
    <row r="32" spans="2:9" ht="14" thickBot="1" x14ac:dyDescent="0.2">
      <c r="B32" s="15" t="s">
        <v>34</v>
      </c>
      <c r="C32" s="16" t="s">
        <v>6</v>
      </c>
      <c r="E32" s="48"/>
      <c r="F32" s="49"/>
      <c r="H32" s="48"/>
      <c r="I32" s="49"/>
    </row>
    <row r="33" customFormat="1" x14ac:dyDescent="0.15"/>
  </sheetData>
  <mergeCells count="2">
    <mergeCell ref="E3:F3"/>
    <mergeCell ref="H3:I3"/>
  </mergeCells>
  <printOptions horizontalCentered="1" verticalCentered="1"/>
  <pageMargins left="0" right="0" top="0" bottom="0" header="0" footer="0"/>
  <pageSetup paperSize="9" scale="81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F05</vt:lpstr>
      <vt:lpstr>F01</vt:lpstr>
      <vt:lpstr>'F01'!Print_Area</vt:lpstr>
      <vt:lpstr>'F05'!Print_Area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Souheil Rahoui</dc:creator>
  <cp:lastModifiedBy>Omar Maaouni</cp:lastModifiedBy>
  <dcterms:created xsi:type="dcterms:W3CDTF">2026-03-18T14:33:10Z</dcterms:created>
  <dcterms:modified xsi:type="dcterms:W3CDTF">2026-03-25T07:01:37Z</dcterms:modified>
</cp:coreProperties>
</file>